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721d35c52915ae/ドキュメント/"/>
    </mc:Choice>
  </mc:AlternateContent>
  <xr:revisionPtr revIDLastSave="0" documentId="8_{CFF89E5B-D0EA-4942-A291-CA105DE962EA}" xr6:coauthVersionLast="47" xr6:coauthVersionMax="47" xr10:uidLastSave="{00000000-0000-0000-0000-000000000000}"/>
  <bookViews>
    <workbookView xWindow="-108" yWindow="-108" windowWidth="23256" windowHeight="12456" xr2:uid="{9D50FE00-9822-41ED-BB36-63E60A19E1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6" i="1" l="1"/>
  <c r="B45" i="1"/>
  <c r="B44" i="1"/>
  <c r="A44" i="1" a="1"/>
  <c r="A44" i="1" s="1"/>
  <c r="A41" i="1"/>
  <c r="A34" i="1" a="1"/>
  <c r="A34" i="1" s="1"/>
  <c r="A29" i="1" a="1"/>
  <c r="A29" i="1" s="1"/>
  <c r="A28" i="1" a="1"/>
  <c r="A28" i="1" s="1"/>
  <c r="A24" i="1" a="1"/>
  <c r="A24" i="1" s="1"/>
  <c r="A20" i="1" a="1"/>
  <c r="A20" i="1" s="1"/>
  <c r="A10" i="1" a="1"/>
  <c r="A10" i="1" s="1"/>
  <c r="H3" i="1"/>
  <c r="H4" i="1"/>
  <c r="H5" i="1"/>
  <c r="H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<sst xmlns="http://schemas.openxmlformats.org/spreadsheetml/2006/main" count="36" uniqueCount="26">
  <si>
    <t>order_id</t>
  </si>
  <si>
    <t>order_date</t>
  </si>
  <si>
    <t>city</t>
  </si>
  <si>
    <t>product</t>
  </si>
  <si>
    <t>category</t>
  </si>
  <si>
    <t>quantity</t>
  </si>
  <si>
    <t>price</t>
  </si>
  <si>
    <t>pune</t>
  </si>
  <si>
    <t>mumbai</t>
  </si>
  <si>
    <t>nagpur</t>
  </si>
  <si>
    <t>laptop</t>
  </si>
  <si>
    <t>mobile</t>
  </si>
  <si>
    <t>keyboard</t>
  </si>
  <si>
    <t>headphone</t>
  </si>
  <si>
    <t>electronics</t>
  </si>
  <si>
    <t>accessories</t>
  </si>
  <si>
    <t>total sales</t>
  </si>
  <si>
    <t>SORTED DATA</t>
  </si>
  <si>
    <t>SALES BASED ON CITY</t>
  </si>
  <si>
    <t>FOR MUMBAI</t>
  </si>
  <si>
    <t>FOR PUNE</t>
  </si>
  <si>
    <t>FOR NAGPUR</t>
  </si>
  <si>
    <t>PIVOT TABLE</t>
  </si>
  <si>
    <t>BEST  PRODUCT</t>
  </si>
  <si>
    <t>BEST CITY</t>
  </si>
  <si>
    <t>mumbai is the best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</si>
</sst>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0EDC8-1311-4F3F-9300-1096E312F608}">
  <dimension ref="A1:H46"/>
  <sheetViews>
    <sheetView tabSelected="1" topLeftCell="A27" workbookViewId="0">
      <selection activeCell="D45" sqref="D45"/>
    </sheetView>
  </sheetViews>
  <sheetFormatPr defaultRowHeight="14.4" x14ac:dyDescent="0.3"/>
  <cols>
    <col min="2" max="2" width="10.88671875" customWidth="1"/>
    <col min="4" max="4" width="10.33203125" bestFit="1" customWidth="1"/>
    <col min="5" max="5" width="12" customWidth="1"/>
    <col min="7" max="7" width="14.33203125" customWidth="1"/>
    <col min="8" max="8" width="14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</v>
      </c>
    </row>
    <row r="2" spans="1:8" x14ac:dyDescent="0.3">
      <c r="A2">
        <v>1001</v>
      </c>
      <c r="B2" s="1">
        <v>45667</v>
      </c>
      <c r="C2" t="s">
        <v>7</v>
      </c>
      <c r="D2" t="s">
        <v>10</v>
      </c>
      <c r="E2" t="s">
        <v>14</v>
      </c>
      <c r="F2">
        <v>2</v>
      </c>
      <c r="G2">
        <v>50000</v>
      </c>
      <c r="H2">
        <v>100000</v>
      </c>
    </row>
    <row r="3" spans="1:8" x14ac:dyDescent="0.3">
      <c r="A3">
        <v>1002</v>
      </c>
      <c r="B3" s="1">
        <v>45668</v>
      </c>
      <c r="C3" t="s">
        <v>8</v>
      </c>
      <c r="D3" t="s">
        <v>11</v>
      </c>
      <c r="E3" t="s">
        <v>14</v>
      </c>
      <c r="F3">
        <v>3</v>
      </c>
      <c r="G3">
        <v>20000</v>
      </c>
      <c r="H3">
        <f t="shared" ref="H3:H6" si="0">F3*G3</f>
        <v>60000</v>
      </c>
    </row>
    <row r="4" spans="1:8" x14ac:dyDescent="0.3">
      <c r="A4">
        <v>1003</v>
      </c>
      <c r="B4" s="1">
        <v>45668</v>
      </c>
      <c r="C4" t="s">
        <v>7</v>
      </c>
      <c r="D4" t="s">
        <v>12</v>
      </c>
      <c r="E4" t="s">
        <v>15</v>
      </c>
      <c r="F4">
        <v>5</v>
      </c>
      <c r="G4">
        <v>2000</v>
      </c>
      <c r="H4">
        <f t="shared" si="0"/>
        <v>10000</v>
      </c>
    </row>
    <row r="5" spans="1:8" x14ac:dyDescent="0.3">
      <c r="A5">
        <v>1004</v>
      </c>
      <c r="B5" s="1">
        <v>45669</v>
      </c>
      <c r="C5" t="s">
        <v>9</v>
      </c>
      <c r="D5" t="s">
        <v>13</v>
      </c>
      <c r="E5" t="s">
        <v>15</v>
      </c>
      <c r="F5">
        <v>4</v>
      </c>
      <c r="G5">
        <v>1500</v>
      </c>
      <c r="H5">
        <f t="shared" si="0"/>
        <v>6000</v>
      </c>
    </row>
    <row r="6" spans="1:8" x14ac:dyDescent="0.3">
      <c r="A6">
        <v>1005</v>
      </c>
      <c r="B6" s="1">
        <v>45670</v>
      </c>
      <c r="C6" t="s">
        <v>8</v>
      </c>
      <c r="D6" t="s">
        <v>10</v>
      </c>
      <c r="E6" t="s">
        <v>14</v>
      </c>
      <c r="F6">
        <v>1</v>
      </c>
      <c r="G6">
        <v>50000</v>
      </c>
      <c r="H6">
        <f t="shared" si="0"/>
        <v>50000</v>
      </c>
    </row>
    <row r="9" spans="1:8" x14ac:dyDescent="0.3">
      <c r="A9" t="s">
        <v>17</v>
      </c>
    </row>
    <row r="10" spans="1:8" x14ac:dyDescent="0.3">
      <c r="A10" cm="1">
        <f t="array" ref="A10:H14">_xlfn._xlws.SORT(A2:H6, 7, -1)</f>
        <v>1001</v>
      </c>
      <c r="B10">
        <v>45667</v>
      </c>
      <c r="C10" t="str">
        <v>pune</v>
      </c>
      <c r="D10" t="str">
        <v>laptop</v>
      </c>
      <c r="E10" t="str">
        <v>electronics</v>
      </c>
      <c r="F10">
        <v>2</v>
      </c>
      <c r="G10">
        <v>50000</v>
      </c>
      <c r="H10">
        <v>100000</v>
      </c>
    </row>
    <row r="11" spans="1:8" x14ac:dyDescent="0.3">
      <c r="A11">
        <v>1005</v>
      </c>
      <c r="B11">
        <v>45670</v>
      </c>
      <c r="C11" t="str">
        <v>mumbai</v>
      </c>
      <c r="D11" t="str">
        <v>laptop</v>
      </c>
      <c r="E11" t="str">
        <v>electronics</v>
      </c>
      <c r="F11">
        <v>1</v>
      </c>
      <c r="G11">
        <v>50000</v>
      </c>
      <c r="H11">
        <v>50000</v>
      </c>
    </row>
    <row r="12" spans="1:8" x14ac:dyDescent="0.3">
      <c r="A12">
        <v>1002</v>
      </c>
      <c r="B12">
        <v>45668</v>
      </c>
      <c r="C12" t="str">
        <v>mumbai</v>
      </c>
      <c r="D12" t="str">
        <v>mobile</v>
      </c>
      <c r="E12" t="str">
        <v>electronics</v>
      </c>
      <c r="F12">
        <v>3</v>
      </c>
      <c r="G12">
        <v>20000</v>
      </c>
      <c r="H12">
        <v>60000</v>
      </c>
    </row>
    <row r="13" spans="1:8" x14ac:dyDescent="0.3">
      <c r="A13">
        <v>1003</v>
      </c>
      <c r="B13">
        <v>45668</v>
      </c>
      <c r="C13" t="str">
        <v>pune</v>
      </c>
      <c r="D13" t="str">
        <v>keyboard</v>
      </c>
      <c r="E13" t="str">
        <v>accessories</v>
      </c>
      <c r="F13">
        <v>5</v>
      </c>
      <c r="G13">
        <v>2000</v>
      </c>
      <c r="H13">
        <v>10000</v>
      </c>
    </row>
    <row r="14" spans="1:8" x14ac:dyDescent="0.3">
      <c r="A14">
        <v>1004</v>
      </c>
      <c r="B14">
        <v>45669</v>
      </c>
      <c r="C14" t="str">
        <v>nagpur</v>
      </c>
      <c r="D14" t="str">
        <v>headphone</v>
      </c>
      <c r="E14" t="str">
        <v>accessories</v>
      </c>
      <c r="F14">
        <v>4</v>
      </c>
      <c r="G14">
        <v>1500</v>
      </c>
      <c r="H14">
        <v>6000</v>
      </c>
    </row>
    <row r="18" spans="1:8" x14ac:dyDescent="0.3">
      <c r="A18" t="s">
        <v>18</v>
      </c>
    </row>
    <row r="19" spans="1:8" x14ac:dyDescent="0.3">
      <c r="A19" t="s">
        <v>19</v>
      </c>
    </row>
    <row r="20" spans="1:8" x14ac:dyDescent="0.3">
      <c r="A20" cm="1">
        <f t="array" ref="A20:G21">_xlfn._xlws.FILTER(A2:G6, C2:C6="Mumbai")</f>
        <v>1002</v>
      </c>
      <c r="B20">
        <v>45668</v>
      </c>
      <c r="C20" t="str">
        <v>mumbai</v>
      </c>
      <c r="D20" t="str">
        <v>mobile</v>
      </c>
      <c r="E20" t="str">
        <v>electronics</v>
      </c>
      <c r="F20">
        <v>3</v>
      </c>
      <c r="G20">
        <v>20000</v>
      </c>
    </row>
    <row r="21" spans="1:8" x14ac:dyDescent="0.3">
      <c r="A21">
        <v>1005</v>
      </c>
      <c r="B21">
        <v>45670</v>
      </c>
      <c r="C21" t="str">
        <v>mumbai</v>
      </c>
      <c r="D21" t="str">
        <v>laptop</v>
      </c>
      <c r="E21" t="str">
        <v>electronics</v>
      </c>
      <c r="F21">
        <v>1</v>
      </c>
      <c r="G21">
        <v>50000</v>
      </c>
    </row>
    <row r="23" spans="1:8" x14ac:dyDescent="0.3">
      <c r="A23" t="s">
        <v>20</v>
      </c>
    </row>
    <row r="24" spans="1:8" x14ac:dyDescent="0.3">
      <c r="A24" cm="1">
        <f t="array" ref="A24:H25">_xlfn._xlws.FILTER(A2:H6, C2:C6="pune")</f>
        <v>1001</v>
      </c>
      <c r="B24">
        <v>45667</v>
      </c>
      <c r="C24" t="str">
        <v>pune</v>
      </c>
      <c r="D24" t="str">
        <v>laptop</v>
      </c>
      <c r="E24" t="str">
        <v>electronics</v>
      </c>
      <c r="F24">
        <v>2</v>
      </c>
      <c r="G24">
        <v>50000</v>
      </c>
      <c r="H24">
        <v>100000</v>
      </c>
    </row>
    <row r="25" spans="1:8" x14ac:dyDescent="0.3">
      <c r="A25">
        <v>1003</v>
      </c>
      <c r="B25">
        <v>45668</v>
      </c>
      <c r="C25" t="str">
        <v>pune</v>
      </c>
      <c r="D25" t="str">
        <v>keyboard</v>
      </c>
      <c r="E25" t="str">
        <v>accessories</v>
      </c>
      <c r="F25">
        <v>5</v>
      </c>
      <c r="G25">
        <v>2000</v>
      </c>
      <c r="H25">
        <v>10000</v>
      </c>
    </row>
    <row r="27" spans="1:8" x14ac:dyDescent="0.3">
      <c r="A27" t="s">
        <v>21</v>
      </c>
    </row>
    <row r="28" spans="1:8" x14ac:dyDescent="0.3">
      <c r="A28" cm="1">
        <f t="array" ref="A28:H28">_xlfn._xlws.FILTER(A2:H6, C2:C6="nagpur")</f>
        <v>1004</v>
      </c>
      <c r="B28">
        <v>45669</v>
      </c>
      <c r="C28" t="str">
        <v>nagpur</v>
      </c>
      <c r="D28" t="str">
        <v>headphone</v>
      </c>
      <c r="E28" t="str">
        <v>accessories</v>
      </c>
      <c r="F28">
        <v>4</v>
      </c>
      <c r="G28">
        <v>1500</v>
      </c>
      <c r="H28">
        <v>6000</v>
      </c>
    </row>
    <row r="29" spans="1:8" x14ac:dyDescent="0.3">
      <c r="A29" cm="1">
        <f t="array" ref="A29:G29">_xlfn._xlws.FILTER(A2:G6, C2:C6="nagpur")</f>
        <v>1004</v>
      </c>
      <c r="B29">
        <v>45669</v>
      </c>
      <c r="C29" t="str">
        <v>nagpur</v>
      </c>
      <c r="D29" t="str">
        <v>headphone</v>
      </c>
      <c r="E29" t="str">
        <v>accessories</v>
      </c>
      <c r="F29">
        <v>4</v>
      </c>
      <c r="G29">
        <v>1500</v>
      </c>
    </row>
    <row r="32" spans="1:8" x14ac:dyDescent="0.3">
      <c r="A32" t="s">
        <v>22</v>
      </c>
    </row>
    <row r="33" spans="1:4" x14ac:dyDescent="0.3">
      <c r="A33" t="s">
        <v>3</v>
      </c>
      <c r="B33" t="s">
        <v>8</v>
      </c>
      <c r="C33" t="s">
        <v>7</v>
      </c>
      <c r="D33" t="s">
        <v>9</v>
      </c>
    </row>
    <row r="34" spans="1:4" x14ac:dyDescent="0.3">
      <c r="A34" t="str" cm="1">
        <f t="array" ref="A34:A37">_xlfn.UNIQUE(D2:D6)</f>
        <v>laptop</v>
      </c>
      <c r="B34">
        <v>50000</v>
      </c>
      <c r="C34">
        <v>100000</v>
      </c>
      <c r="D34">
        <v>0</v>
      </c>
    </row>
    <row r="35" spans="1:4" x14ac:dyDescent="0.3">
      <c r="A35" t="str">
        <v>mobile</v>
      </c>
      <c r="B35">
        <v>60000</v>
      </c>
      <c r="C35">
        <v>0</v>
      </c>
      <c r="D35">
        <v>0</v>
      </c>
    </row>
    <row r="36" spans="1:4" x14ac:dyDescent="0.3">
      <c r="A36" t="str">
        <v>keyboard</v>
      </c>
      <c r="B36">
        <v>0</v>
      </c>
      <c r="C36">
        <v>10000</v>
      </c>
      <c r="D36">
        <v>0</v>
      </c>
    </row>
    <row r="37" spans="1:4" x14ac:dyDescent="0.3">
      <c r="A37" t="str">
        <v>headphone</v>
      </c>
      <c r="B37">
        <v>0</v>
      </c>
      <c r="C37">
        <v>0</v>
      </c>
      <c r="D37">
        <v>6000</v>
      </c>
    </row>
    <row r="40" spans="1:4" x14ac:dyDescent="0.3">
      <c r="A40" t="s">
        <v>23</v>
      </c>
    </row>
    <row r="41" spans="1:4" x14ac:dyDescent="0.3">
      <c r="A41" t="str">
        <f>INDEX(D2:D6, MATCH(MAX(H2:H6), H2:H6, 0))</f>
        <v>laptop</v>
      </c>
    </row>
    <row r="43" spans="1:4" x14ac:dyDescent="0.3">
      <c r="A43" t="s">
        <v>24</v>
      </c>
    </row>
    <row r="44" spans="1:4" x14ac:dyDescent="0.3">
      <c r="A44" t="str" cm="1">
        <f t="array" ref="A44:A46">_xlfn.UNIQUE(C2:C6)</f>
        <v>pune</v>
      </c>
      <c r="B44">
        <f>SUMIF(C2:C6,"pune",G2:G6)</f>
        <v>52000</v>
      </c>
    </row>
    <row r="45" spans="1:4" x14ac:dyDescent="0.3">
      <c r="A45" t="str">
        <v>mumbai</v>
      </c>
      <c r="B45">
        <f>SUMIF(C2:C6,"mumbai",G2:G6)</f>
        <v>70000</v>
      </c>
      <c r="D45" t="s">
        <v>25</v>
      </c>
    </row>
    <row r="46" spans="1:4" x14ac:dyDescent="0.3">
      <c r="A46" t="str">
        <v>nagpur</v>
      </c>
      <c r="B46">
        <f>SUMIF(C2:C6,"nagpur",G2:G6)</f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Polmersetty</dc:creator>
  <cp:lastModifiedBy>Harshit Polmersetty</cp:lastModifiedBy>
  <dcterms:created xsi:type="dcterms:W3CDTF">2026-04-21T15:17:14Z</dcterms:created>
  <dcterms:modified xsi:type="dcterms:W3CDTF">2026-04-21T16:53:26Z</dcterms:modified>
</cp:coreProperties>
</file>